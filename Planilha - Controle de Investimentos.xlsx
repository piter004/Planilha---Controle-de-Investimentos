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8_{06A0DE34-FD63-43BF-8520-75AF588B636B}" xr6:coauthVersionLast="47" xr6:coauthVersionMax="47" xr10:uidLastSave="{00000000-0000-0000-0000-000000000000}"/>
  <bookViews>
    <workbookView xWindow="-120" yWindow="-120" windowWidth="29040" windowHeight="15720" xr2:uid="{206929D7-E2D7-42A1-8CC2-1A4667C099AA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2" i="1" l="1"/>
  <c r="D41" i="1"/>
  <c r="D40" i="1"/>
  <c r="D39" i="1"/>
  <c r="D38" i="1"/>
  <c r="D36" i="1"/>
  <c r="D37" i="1"/>
  <c r="C33" i="1"/>
  <c r="C28" i="1"/>
  <c r="D28" i="1" s="1"/>
  <c r="C27" i="1"/>
  <c r="D27" i="1" s="1"/>
  <c r="C26" i="1"/>
  <c r="D26" i="1" s="1"/>
  <c r="C25" i="1"/>
  <c r="D25" i="1" s="1"/>
  <c r="C24" i="1"/>
  <c r="D24" i="1" s="1"/>
  <c r="D20" i="1"/>
  <c r="D21" i="1" s="1"/>
</calcChain>
</file>

<file path=xl/sharedStrings.xml><?xml version="1.0" encoding="utf-8"?>
<sst xmlns="http://schemas.openxmlformats.org/spreadsheetml/2006/main" count="29" uniqueCount="29">
  <si>
    <t>INVESTIMENTO MENSAL</t>
  </si>
  <si>
    <t>Quanto investir por mês?</t>
  </si>
  <si>
    <t>Por Quantos Anos?</t>
  </si>
  <si>
    <t>Dividendos Mensais</t>
  </si>
  <si>
    <t>Patrimônio acumulado</t>
  </si>
  <si>
    <t>Taxa de Rendimento mensal</t>
  </si>
  <si>
    <t>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</si>
  <si>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</si>
  <si>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</si>
  <si>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</si>
  <si>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</si>
  <si>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</si>
  <si>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</si>
  <si>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Salario</t>
  </si>
  <si>
    <t>Rendimento Carteira</t>
  </si>
  <si>
    <t>Sugestão de Investimento</t>
  </si>
  <si>
    <t xml:space="preserve">Configurações 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</si>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</sst>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9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3" xfId="0" applyBorder="1"/>
    <xf numFmtId="0" fontId="0" fillId="0" borderId="4" xfId="0" applyBorder="1"/>
    <xf numFmtId="10" fontId="0" fillId="0" borderId="4" xfId="0" applyNumberFormat="1" applyBorder="1"/>
    <xf numFmtId="8" fontId="0" fillId="0" borderId="4" xfId="0" applyNumberFormat="1" applyBorder="1"/>
    <xf numFmtId="0" fontId="0" fillId="0" borderId="5" xfId="0" applyBorder="1"/>
    <xf numFmtId="8" fontId="0" fillId="0" borderId="7" xfId="0" applyNumberFormat="1" applyBorder="1"/>
    <xf numFmtId="8" fontId="0" fillId="0" borderId="0" xfId="0" applyNumberFormat="1" applyBorder="1"/>
    <xf numFmtId="8" fontId="0" fillId="0" borderId="6" xfId="0" applyNumberFormat="1" applyBorder="1"/>
    <xf numFmtId="169" fontId="0" fillId="0" borderId="4" xfId="0" applyNumberFormat="1" applyBorder="1"/>
    <xf numFmtId="0" fontId="2" fillId="0" borderId="0" xfId="0" applyFont="1"/>
    <xf numFmtId="0" fontId="0" fillId="0" borderId="0" xfId="0" applyFont="1"/>
    <xf numFmtId="169" fontId="0" fillId="0" borderId="7" xfId="0" applyNumberFormat="1" applyBorder="1"/>
    <xf numFmtId="0" fontId="0" fillId="4" borderId="10" xfId="0" applyFill="1" applyBorder="1"/>
    <xf numFmtId="0" fontId="4" fillId="3" borderId="10" xfId="0" applyFont="1" applyFill="1" applyBorder="1"/>
    <xf numFmtId="0" fontId="5" fillId="2" borderId="13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5" borderId="0" xfId="0" applyFill="1"/>
    <xf numFmtId="0" fontId="0" fillId="6" borderId="0" xfId="0" applyFill="1"/>
    <xf numFmtId="169" fontId="0" fillId="6" borderId="0" xfId="0" applyNumberFormat="1" applyFill="1"/>
    <xf numFmtId="0" fontId="0" fillId="0" borderId="0" xfId="0" applyAlignment="1">
      <alignment horizontal="center"/>
    </xf>
    <xf numFmtId="0" fontId="1" fillId="7" borderId="0" xfId="0" applyFont="1" applyFill="1" applyAlignment="1">
      <alignment horizontal="center"/>
    </xf>
    <xf numFmtId="0" fontId="1" fillId="9" borderId="0" xfId="0" applyFont="1" applyFill="1"/>
    <xf numFmtId="169" fontId="1" fillId="9" borderId="0" xfId="0" applyNumberFormat="1" applyFont="1" applyFill="1"/>
    <xf numFmtId="9" fontId="0" fillId="0" borderId="0" xfId="0" applyNumberFormat="1" applyAlignment="1">
      <alignment horizontal="center"/>
    </xf>
    <xf numFmtId="169" fontId="0" fillId="8" borderId="0" xfId="0" applyNumberForma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3-4CEA-AB0E-6962DFDFC16F}"/>
            </c:ext>
          </c:extLst>
        </c:ser>
        <c:ser>
          <c:idx val="1"/>
          <c:order val="1"/>
          <c:tx>
            <c:strRef>
              <c:f>Planilha1!$D$35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Planilha1!$D$36:$D$41</c:f>
              <c:numCache>
                <c:formatCode>"R$"\ #,##0.00</c:formatCode>
                <c:ptCount val="6"/>
                <c:pt idx="0">
                  <c:v>64</c:v>
                </c:pt>
                <c:pt idx="1">
                  <c:v>70</c:v>
                </c:pt>
                <c:pt idx="2">
                  <c:v>16</c:v>
                </c:pt>
                <c:pt idx="3">
                  <c:v>10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C3-4CEA-AB0E-6962DFDFC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42</xdr:row>
      <xdr:rowOff>4761</xdr:rowOff>
    </xdr:from>
    <xdr:to>
      <xdr:col>4</xdr:col>
      <xdr:colOff>9525</xdr:colOff>
      <xdr:row>57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C5097A-2918-256F-7EA3-F59674EE7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600075</xdr:colOff>
      <xdr:row>0</xdr:row>
      <xdr:rowOff>152399</xdr:rowOff>
    </xdr:from>
    <xdr:to>
      <xdr:col>4</xdr:col>
      <xdr:colOff>9525</xdr:colOff>
      <xdr:row>10</xdr:row>
      <xdr:rowOff>148068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E30B593-F8EC-7243-0014-505F78575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52399"/>
          <a:ext cx="5095875" cy="1900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07E5-5A99-4CCA-BD01-D467249A994A}">
  <dimension ref="A11:H42"/>
  <sheetViews>
    <sheetView showGridLines="0" tabSelected="1" workbookViewId="0">
      <selection activeCell="H44" sqref="H44"/>
    </sheetView>
  </sheetViews>
  <sheetFormatPr defaultRowHeight="15" x14ac:dyDescent="0.25"/>
  <cols>
    <col min="2" max="2" width="40" bestFit="1" customWidth="1"/>
    <col min="3" max="3" width="18.85546875" bestFit="1" customWidth="1"/>
    <col min="4" max="4" width="17.28515625" bestFit="1" customWidth="1"/>
  </cols>
  <sheetData>
    <row r="11" spans="2:8" ht="27" thickBot="1" x14ac:dyDescent="0.45">
      <c r="B11" s="16" t="s">
        <v>16</v>
      </c>
      <c r="C11" s="17"/>
      <c r="D11" s="13"/>
    </row>
    <row r="12" spans="2:8" x14ac:dyDescent="0.25">
      <c r="B12" s="23" t="s">
        <v>13</v>
      </c>
      <c r="C12" s="24"/>
      <c r="D12" s="9">
        <v>2000</v>
      </c>
    </row>
    <row r="13" spans="2:8" x14ac:dyDescent="0.25">
      <c r="B13" s="22" t="s">
        <v>14</v>
      </c>
      <c r="C13" s="25"/>
      <c r="D13" s="3">
        <v>6.0000000000000001E-3</v>
      </c>
    </row>
    <row r="14" spans="2:8" ht="15.75" thickBot="1" x14ac:dyDescent="0.3">
      <c r="B14" s="26" t="s">
        <v>15</v>
      </c>
      <c r="C14" s="27"/>
      <c r="D14" s="12">
        <v>600</v>
      </c>
      <c r="H14" s="11"/>
    </row>
    <row r="16" spans="2:8" ht="27" thickBot="1" x14ac:dyDescent="0.45">
      <c r="B16" s="18" t="s">
        <v>0</v>
      </c>
      <c r="C16" s="19"/>
      <c r="D16" s="14"/>
    </row>
    <row r="17" spans="1:4" x14ac:dyDescent="0.25">
      <c r="B17" s="23" t="s">
        <v>1</v>
      </c>
      <c r="C17" s="24"/>
      <c r="D17" s="9">
        <v>200</v>
      </c>
    </row>
    <row r="18" spans="1:4" x14ac:dyDescent="0.25">
      <c r="B18" s="22" t="s">
        <v>2</v>
      </c>
      <c r="C18" s="25"/>
      <c r="D18" s="2">
        <v>5</v>
      </c>
    </row>
    <row r="19" spans="1:4" x14ac:dyDescent="0.25">
      <c r="B19" s="22" t="s">
        <v>5</v>
      </c>
      <c r="C19" s="25"/>
      <c r="D19" s="3">
        <v>1.0789999999999999E-2</v>
      </c>
    </row>
    <row r="20" spans="1:4" x14ac:dyDescent="0.25">
      <c r="B20" s="22" t="s">
        <v>4</v>
      </c>
      <c r="C20" s="25"/>
      <c r="D20" s="4">
        <f>FV(D19, D18*12, -D17)</f>
        <v>16755.382799697527</v>
      </c>
    </row>
    <row r="21" spans="1:4" ht="15.75" thickBot="1" x14ac:dyDescent="0.3">
      <c r="B21" s="26" t="s">
        <v>3</v>
      </c>
      <c r="C21" s="27"/>
      <c r="D21" s="6">
        <f>D20 * 0.006</f>
        <v>100.53229679818516</v>
      </c>
    </row>
    <row r="22" spans="1:4" ht="15.75" thickBot="1" x14ac:dyDescent="0.3"/>
    <row r="23" spans="1:4" ht="27" thickBot="1" x14ac:dyDescent="0.45">
      <c r="B23" s="20" t="s">
        <v>6</v>
      </c>
      <c r="C23" s="21"/>
      <c r="D23" s="15" t="s">
        <v>7</v>
      </c>
    </row>
    <row r="24" spans="1:4" x14ac:dyDescent="0.25">
      <c r="A24" s="10">
        <v>2</v>
      </c>
      <c r="B24" s="1" t="s">
        <v>8</v>
      </c>
      <c r="C24" s="7">
        <f>FV(D$19, A24*12, -D$17)</f>
        <v>5445.5254595290435</v>
      </c>
      <c r="D24" s="4">
        <f>C24 * D$13</f>
        <v>32.673152757174265</v>
      </c>
    </row>
    <row r="25" spans="1:4" x14ac:dyDescent="0.25">
      <c r="A25" s="10">
        <v>5</v>
      </c>
      <c r="B25" s="1" t="s">
        <v>9</v>
      </c>
      <c r="C25" s="7">
        <f>FV(D$19, A25*12, -D$17)</f>
        <v>16755.382799697527</v>
      </c>
      <c r="D25" s="4">
        <f>C25 * D$13</f>
        <v>100.53229679818516</v>
      </c>
    </row>
    <row r="26" spans="1:4" x14ac:dyDescent="0.25">
      <c r="A26" s="10">
        <v>10</v>
      </c>
      <c r="B26" s="1" t="s">
        <v>10</v>
      </c>
      <c r="C26" s="7">
        <f>FV(D$19, A26*12, -D$17)</f>
        <v>48656.842506034438</v>
      </c>
      <c r="D26" s="4">
        <f>C26 * D$13</f>
        <v>291.94105503620665</v>
      </c>
    </row>
    <row r="27" spans="1:4" x14ac:dyDescent="0.25">
      <c r="A27" s="10">
        <v>20</v>
      </c>
      <c r="B27" s="1" t="s">
        <v>11</v>
      </c>
      <c r="C27" s="7">
        <f>FV(D$19, A27*12, -D$17)</f>
        <v>225039.68001941612</v>
      </c>
      <c r="D27" s="4">
        <f>C27 * D$13</f>
        <v>1350.2380801164968</v>
      </c>
    </row>
    <row r="28" spans="1:4" ht="15.75" thickBot="1" x14ac:dyDescent="0.3">
      <c r="A28" s="10">
        <v>30</v>
      </c>
      <c r="B28" s="5" t="s">
        <v>12</v>
      </c>
      <c r="C28" s="8">
        <f>FV(D$19, A28*12, -D$17)</f>
        <v>864433.93100094295</v>
      </c>
      <c r="D28" s="6">
        <f>C28 * D$13</f>
        <v>5186.6035860056581</v>
      </c>
    </row>
    <row r="32" spans="1:4" x14ac:dyDescent="0.25">
      <c r="B32" s="37" t="s">
        <v>17</v>
      </c>
      <c r="C32" s="37" t="s">
        <v>18</v>
      </c>
      <c r="D32" s="28"/>
    </row>
    <row r="33" spans="2:4" x14ac:dyDescent="0.25">
      <c r="B33" s="29" t="s">
        <v>19</v>
      </c>
      <c r="C33" s="30">
        <f>D17</f>
        <v>200</v>
      </c>
      <c r="D33" s="29"/>
    </row>
    <row r="35" spans="2:4" x14ac:dyDescent="0.25">
      <c r="B35" s="32" t="s">
        <v>20</v>
      </c>
      <c r="C35" s="32" t="s">
        <v>21</v>
      </c>
      <c r="D35" s="32" t="s">
        <v>22</v>
      </c>
    </row>
    <row r="36" spans="2:4" x14ac:dyDescent="0.25">
      <c r="B36" s="31" t="s">
        <v>23</v>
      </c>
      <c r="C36" s="35">
        <v>0.32</v>
      </c>
      <c r="D36" s="36">
        <f>C33 * C36</f>
        <v>64</v>
      </c>
    </row>
    <row r="37" spans="2:4" x14ac:dyDescent="0.25">
      <c r="B37" s="31" t="s">
        <v>24</v>
      </c>
      <c r="C37" s="35">
        <v>0.35</v>
      </c>
      <c r="D37" s="36">
        <f>C33 * C37</f>
        <v>70</v>
      </c>
    </row>
    <row r="38" spans="2:4" x14ac:dyDescent="0.25">
      <c r="B38" s="31" t="s">
        <v>25</v>
      </c>
      <c r="C38" s="35">
        <v>0.08</v>
      </c>
      <c r="D38" s="36">
        <f>C33 * C38</f>
        <v>16</v>
      </c>
    </row>
    <row r="39" spans="2:4" x14ac:dyDescent="0.25">
      <c r="B39" s="31" t="s">
        <v>26</v>
      </c>
      <c r="C39" s="35">
        <v>0.05</v>
      </c>
      <c r="D39" s="36">
        <f>C33 * C39</f>
        <v>10</v>
      </c>
    </row>
    <row r="40" spans="2:4" x14ac:dyDescent="0.25">
      <c r="B40" s="31" t="s">
        <v>27</v>
      </c>
      <c r="C40" s="35">
        <v>0.1</v>
      </c>
      <c r="D40" s="36">
        <f>C33 * C40</f>
        <v>20</v>
      </c>
    </row>
    <row r="41" spans="2:4" x14ac:dyDescent="0.25">
      <c r="B41" s="31" t="s">
        <v>28</v>
      </c>
      <c r="C41" s="35">
        <v>0.1</v>
      </c>
      <c r="D41" s="36">
        <f>C33 * C41</f>
        <v>20</v>
      </c>
    </row>
    <row r="42" spans="2:4" x14ac:dyDescent="0.25">
      <c r="B42" s="33"/>
      <c r="C42" s="33"/>
      <c r="D42" s="34">
        <f>SUM(D36:D41)</f>
        <v>200</v>
      </c>
    </row>
  </sheetData>
  <mergeCells count="11">
    <mergeCell ref="B12:C12"/>
    <mergeCell ref="B11:C11"/>
    <mergeCell ref="B16:C16"/>
    <mergeCell ref="B17:C17"/>
    <mergeCell ref="B23:C23"/>
    <mergeCell ref="B18:C18"/>
    <mergeCell ref="B19:C19"/>
    <mergeCell ref="B20:C20"/>
    <mergeCell ref="B21:C21"/>
    <mergeCell ref="B14:C14"/>
    <mergeCell ref="B13:C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5701-D91D-455B-BF07-8AEE696E4FD7}">
  <dimension ref="A1"/>
  <sheetViews>
    <sheetView showGridLines="0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piterzin .</dc:creator>
  <cp:lastModifiedBy>piterzin .</cp:lastModifiedBy>
  <dcterms:created xsi:type="dcterms:W3CDTF">2026-10-17T18:58:59Z</dcterms:created>
  <dcterms:modified xsi:type="dcterms:W3CDTF">2026-10-17T19:50:05Z</dcterms:modified>
</cp:coreProperties>
</file>